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giovannichiementin/Library/Application Support/Claude/local-agent-mode-sessions/794fcc7e-fdaa-4c2a-93fe-b50b5c358be4/61a5fa7f-c053-4a73-beb8-799494569707/local_4aeecbcb-b43a-4273-8aa0-fb594bbdf780/outputs/"/>
    </mc:Choice>
  </mc:AlternateContent>
  <xr:revisionPtr revIDLastSave="0" documentId="13_ncr:1_{AC707886-4905-9646-BF81-6D2C82D74FEE}" xr6:coauthVersionLast="47" xr6:coauthVersionMax="47" xr10:uidLastSave="{00000000-0000-0000-0000-000000000000}"/>
  <bookViews>
    <workbookView xWindow="480" yWindow="660" windowWidth="29500" windowHeight="14820" tabRatio="500" xr2:uid="{00000000-000D-0000-FFFF-FFFF00000000}"/>
  </bookViews>
  <sheets>
    <sheet name="Portfoli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</calcChain>
</file>

<file path=xl/sharedStrings.xml><?xml version="1.0" encoding="utf-8"?>
<sst xmlns="http://schemas.openxmlformats.org/spreadsheetml/2006/main" count="136" uniqueCount="103">
  <si>
    <t>Category</t>
  </si>
  <si>
    <t>Ticker</t>
  </si>
  <si>
    <t>Exchange</t>
  </si>
  <si>
    <t>Name</t>
  </si>
  <si>
    <t>ISIN</t>
  </si>
  <si>
    <t>Weight %</t>
  </si>
  <si>
    <t>Override</t>
  </si>
  <si>
    <t>Holdings URL</t>
  </si>
  <si>
    <t>Notes</t>
  </si>
  <si>
    <t>US quality/value</t>
  </si>
  <si>
    <t>EBS</t>
  </si>
  <si>
    <t>Developed world ex US</t>
  </si>
  <si>
    <t>EXUS</t>
  </si>
  <si>
    <t>IBIS2</t>
  </si>
  <si>
    <t>Xtrackers MSCI World ex USA 1C</t>
  </si>
  <si>
    <t>IE0006WW1TQ4</t>
  </si>
  <si>
    <t>Europe</t>
  </si>
  <si>
    <t>IMAE</t>
  </si>
  <si>
    <t>AEB</t>
  </si>
  <si>
    <t>iShares Core MSCI Europe Acc</t>
  </si>
  <si>
    <t>IE00B4K48X80</t>
  </si>
  <si>
    <t>Emerging markets ex China</t>
  </si>
  <si>
    <t>China</t>
  </si>
  <si>
    <t>ICHN</t>
  </si>
  <si>
    <t>IE00BJ5JPG56</t>
  </si>
  <si>
    <t>Energy/grid/infrastructure</t>
  </si>
  <si>
    <t>Healthcare/medtech</t>
  </si>
  <si>
    <t>UMDV</t>
  </si>
  <si>
    <t>iShares US Medical Devices UCITS Acc</t>
  </si>
  <si>
    <t>IE00BMX0DF60</t>
  </si>
  <si>
    <t>XDWH</t>
  </si>
  <si>
    <t>Xtrackers MSCI World Health Care 1C</t>
  </si>
  <si>
    <t>IE00BM67HK77</t>
  </si>
  <si>
    <t>Food/water/essentials</t>
  </si>
  <si>
    <t>IH2O</t>
  </si>
  <si>
    <t>BVME.ETF</t>
  </si>
  <si>
    <t>iShares Global Water UCITS Dist</t>
  </si>
  <si>
    <t>IE00B1TXK627</t>
  </si>
  <si>
    <t>Robotics/automation</t>
  </si>
  <si>
    <t>BOTZ</t>
  </si>
  <si>
    <t>GX Robotics &amp; AI UCITS Acc</t>
  </si>
  <si>
    <t>Stabilizer</t>
  </si>
  <si>
    <t>XEON</t>
  </si>
  <si>
    <t>Xtrackers EUR Overnight Rate Swap 1C</t>
  </si>
  <si>
    <t>LU0290358497</t>
  </si>
  <si>
    <t>CASH:EUR</t>
  </si>
  <si>
    <t>No look-through: EUR cash</t>
  </si>
  <si>
    <t>SGLD</t>
  </si>
  <si>
    <t>Invesco Physical Gold ETC</t>
  </si>
  <si>
    <t>IE00B579F325</t>
  </si>
  <si>
    <t>GOLD:GOLD</t>
  </si>
  <si>
    <t>No look-through: gold</t>
  </si>
  <si>
    <t>TOTAL</t>
  </si>
  <si>
    <t>iShares MSCI EM ex-China UCITS ETF USD (Acc)</t>
  </si>
  <si>
    <t>IE00BMG6Z448</t>
  </si>
  <si>
    <t>36BZ</t>
  </si>
  <si>
    <t>iShares MSCI China A UCITS ETF</t>
  </si>
  <si>
    <t>IE00BQT3WG13</t>
  </si>
  <si>
    <t>iShares Edge MSCI USA Quality Factor UCITS ETF</t>
  </si>
  <si>
    <t>QDVB</t>
  </si>
  <si>
    <t>IE00BD1F4L37</t>
  </si>
  <si>
    <t>MTPI</t>
  </si>
  <si>
    <t>IE00BLCHJB90</t>
  </si>
  <si>
    <t>GRID</t>
  </si>
  <si>
    <t>IE000J80JTL1</t>
  </si>
  <si>
    <t>First Trust Nasdaq Clean Edge Smart Grid Infrastructure UCITS ETF Acc</t>
  </si>
  <si>
    <t>iShares Agribusiness UCITS ETF</t>
  </si>
  <si>
    <t>SWB2</t>
  </si>
  <si>
    <t>IS0C</t>
  </si>
  <si>
    <t>IE00B6R52143</t>
  </si>
  <si>
    <t>XDW0</t>
  </si>
  <si>
    <t>Xtrackers MSCI World Energy UCITS ETF 1C</t>
  </si>
  <si>
    <t>IE00BM67HM91</t>
  </si>
  <si>
    <t>VanEck Uranium and Nuclear Technologies UCITS ETF A</t>
  </si>
  <si>
    <t>NUKL</t>
  </si>
  <si>
    <t>SBF</t>
  </si>
  <si>
    <t>4COP</t>
  </si>
  <si>
    <t>IE0003Z9E2Y3</t>
  </si>
  <si>
    <t>Global X Copper Miners UCITS ETF USD Accumulating</t>
  </si>
  <si>
    <t>IE000M7V94E1</t>
  </si>
  <si>
    <t>US small-cap value</t>
  </si>
  <si>
    <t>ZPRV</t>
  </si>
  <si>
    <t>IE00BSPLC413</t>
  </si>
  <si>
    <t>State Street SPDR MSCI USA Small Cap Value Weighted UCITS ETF USD</t>
  </si>
  <si>
    <t>https://www.ssga.com/uk/en_gb/intermediary/etfs/state-street-spdr-msci-usa-small-cap-value-weighted-ucits-etf-zprv-gy</t>
  </si>
  <si>
    <t>https://etf.dws.com/en-gb/IE00BM67HM91-msci-world-energy-ucits-etf-1c/</t>
  </si>
  <si>
    <t>https://www.vaneck.com/nl/en/investments/nuclear-etf/holdings/</t>
  </si>
  <si>
    <t>https://globalxetfs.eu/funds/copx</t>
  </si>
  <si>
    <t>https://www.globalxetfs.com/funds/botz</t>
  </si>
  <si>
    <t>https://www.ishares.com/uk/individual/en/products/315592/ishares-msci-em-ex-china-ucits-etf</t>
  </si>
  <si>
    <t>https://www.ishares.com/uk/individual/en/products/251707/ishares-agribusiness-ucits-etf</t>
  </si>
  <si>
    <t>https://www.ftglobalportfolios.com/nl/retail/Products/Nasdaq-Clean-Edge-Smart-Grid-Infrastructure/?isin_code=IE000J80JTL1#overview</t>
  </si>
  <si>
    <t>https://www.ishares.com/uk/individual/en/products/285209/ishares-edge-msci-usa-quality-factor-ucits-etf-usd-acc-fund</t>
  </si>
  <si>
    <t>https://www.ishares.com/uk/individual/en/products/273192/ishares-msci-china-a-ucits-etf</t>
  </si>
  <si>
    <t xml:space="preserve"> </t>
  </si>
  <si>
    <t>https://etf.dws.com/en-lu/IE0006WW1TQ4-msci-world-ex-usa-ucits-etf-1c/</t>
  </si>
  <si>
    <t>https://www.ishares.com/uk/individual/en/products/251861/ishares-msci-europe-ucits-etf-acc-fund</t>
  </si>
  <si>
    <t>https://www.ishares.com/uk/individual/en/products/314925/ishares-us-medical-devices-ucits-etf</t>
  </si>
  <si>
    <t>https://etf.dws.com/en-lu/IE00BM67HK77-msci-world-health-care-ucits-etf-1c/</t>
  </si>
  <si>
    <t>https://www.ishares.com/uk/individual/en/products/251913/ishares-global-water-ucits-etf</t>
  </si>
  <si>
    <t>China domestic</t>
  </si>
  <si>
    <t>iShares MSCI China UCITS ETF USD (Acc)</t>
  </si>
  <si>
    <t>https://www.ishares.com/uk/individual/en/products/308751/ishares-msci-china-ucits-etf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</si>
</sst>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color rgb="FFC00000"/>
      <name val="Arial"/>
      <charset val="1"/>
    </font>
    <font>
      <sz val="16"/>
      <color rgb="FF121212"/>
      <name val="Helvetic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D50"/>
        <bgColor rgb="FF66669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3" borderId="0" xfId="0" applyFont="1" applyFill="1"/>
    <xf numFmtId="0" fontId="6" fillId="3" borderId="0" xfId="0" applyFont="1" applyFill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Normal="100" workbookViewId="0">
      <pane ySplit="1" topLeftCell="A2" activePane="bottomLeft" state="frozen"/>
      <selection pane="bottomLeft" activeCell="H22" sqref="H22"/>
    </sheetView>
  </sheetViews>
  <sheetFormatPr baseColWidth="10" defaultColWidth="8.6640625" defaultRowHeight="15" x14ac:dyDescent="0.2"/>
  <cols>
    <col min="1" max="1" width="26" customWidth="1"/>
    <col min="2" max="2" width="9" customWidth="1"/>
    <col min="3" max="3" width="10" customWidth="1"/>
    <col min="4" max="4" width="42" customWidth="1"/>
    <col min="5" max="5" width="15" customWidth="1"/>
    <col min="6" max="6" width="10" customWidth="1"/>
    <col min="7" max="7" width="11" customWidth="1"/>
    <col min="8" max="8" width="36.33203125" style="11" customWidth="1"/>
    <col min="9" max="9" width="55" customWidth="1"/>
  </cols>
  <sheetData>
    <row r="1" spans="1:9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1" t="s">
        <v>8</v>
      </c>
    </row>
    <row r="2" spans="1:9" ht="15" customHeight="1" x14ac:dyDescent="0.2">
      <c r="A2" s="2" t="s">
        <v>9</v>
      </c>
      <c r="B2" s="7" t="s">
        <v>59</v>
      </c>
      <c r="C2" s="2" t="s">
        <v>13</v>
      </c>
      <c r="D2" s="2" t="s">
        <v>58</v>
      </c>
      <c r="E2" s="7" t="s">
        <v>60</v>
      </c>
      <c r="F2" s="6">
        <v>11</v>
      </c>
      <c r="G2" s="2"/>
      <c r="H2" s="10" t="s">
        <v>92</v>
      </c>
      <c r="I2" s="6" t="s">
        <v>94</v>
      </c>
    </row>
    <row r="3" spans="1:9" ht="15" customHeight="1" x14ac:dyDescent="0.2">
      <c r="A3" t="s">
        <v>80</v>
      </c>
      <c r="B3" s="8" t="s">
        <v>81</v>
      </c>
      <c r="C3" s="6" t="s">
        <v>13</v>
      </c>
      <c r="D3" s="2" t="s">
        <v>83</v>
      </c>
      <c r="E3" s="7" t="s">
        <v>82</v>
      </c>
      <c r="F3" s="6">
        <v>3</v>
      </c>
      <c r="G3" s="2"/>
      <c r="H3" s="10" t="s">
        <v>84</v>
      </c>
      <c r="I3" s="6" t="s">
        <v>94</v>
      </c>
    </row>
    <row r="4" spans="1:9" ht="15" customHeight="1" x14ac:dyDescent="0.2">
      <c r="A4" s="2" t="s">
        <v>11</v>
      </c>
      <c r="B4" s="7" t="s">
        <v>12</v>
      </c>
      <c r="C4" s="2" t="s">
        <v>13</v>
      </c>
      <c r="D4" s="2" t="s">
        <v>14</v>
      </c>
      <c r="E4" s="7" t="s">
        <v>15</v>
      </c>
      <c r="F4" s="2">
        <v>20</v>
      </c>
      <c r="G4" s="2"/>
      <c r="H4" s="10" t="s">
        <v>95</v>
      </c>
      <c r="I4" s="6" t="s">
        <v>94</v>
      </c>
    </row>
    <row r="5" spans="1:9" ht="15" customHeight="1" x14ac:dyDescent="0.2">
      <c r="A5" s="2" t="s">
        <v>16</v>
      </c>
      <c r="B5" s="7" t="s">
        <v>17</v>
      </c>
      <c r="C5" s="2" t="s">
        <v>18</v>
      </c>
      <c r="D5" s="2" t="s">
        <v>19</v>
      </c>
      <c r="E5" s="7" t="s">
        <v>20</v>
      </c>
      <c r="F5" s="2">
        <v>10</v>
      </c>
      <c r="G5" s="2"/>
      <c r="H5" s="11" t="s">
        <v>96</v>
      </c>
      <c r="I5" s="6" t="s">
        <v>94</v>
      </c>
    </row>
    <row r="6" spans="1:9" ht="15" customHeight="1" x14ac:dyDescent="0.2">
      <c r="A6" s="2" t="s">
        <v>21</v>
      </c>
      <c r="B6" s="7" t="s">
        <v>61</v>
      </c>
      <c r="C6" s="2" t="s">
        <v>10</v>
      </c>
      <c r="D6" s="6" t="s">
        <v>53</v>
      </c>
      <c r="E6" s="7" t="s">
        <v>54</v>
      </c>
      <c r="F6" s="2">
        <v>15.5</v>
      </c>
      <c r="G6" s="2"/>
      <c r="H6" s="10" t="s">
        <v>89</v>
      </c>
      <c r="I6" s="6" t="s">
        <v>94</v>
      </c>
    </row>
    <row r="7" spans="1:9" ht="15" customHeight="1" x14ac:dyDescent="0.2">
      <c r="A7" s="6" t="s">
        <v>100</v>
      </c>
      <c r="B7" s="8" t="s">
        <v>55</v>
      </c>
      <c r="C7" s="2" t="s">
        <v>18</v>
      </c>
      <c r="D7" s="2" t="s">
        <v>56</v>
      </c>
      <c r="E7" s="7" t="s">
        <v>57</v>
      </c>
      <c r="F7" s="2">
        <v>5</v>
      </c>
      <c r="G7" s="2"/>
      <c r="H7" s="10" t="s">
        <v>93</v>
      </c>
      <c r="I7" s="6" t="s">
        <v>94</v>
      </c>
    </row>
    <row r="8" spans="1:9" ht="15" customHeight="1" x14ac:dyDescent="0.2">
      <c r="A8" s="6" t="s">
        <v>22</v>
      </c>
      <c r="B8" s="8" t="s">
        <v>23</v>
      </c>
      <c r="C8" s="2" t="s">
        <v>18</v>
      </c>
      <c r="D8" s="2" t="s">
        <v>101</v>
      </c>
      <c r="E8" s="7" t="s">
        <v>24</v>
      </c>
      <c r="F8" s="2">
        <v>3</v>
      </c>
      <c r="G8" s="2"/>
      <c r="H8" s="10" t="s">
        <v>102</v>
      </c>
      <c r="I8" s="6" t="s">
        <v>94</v>
      </c>
    </row>
    <row r="9" spans="1:9" ht="15" customHeight="1" x14ac:dyDescent="0.2">
      <c r="A9" s="2" t="s">
        <v>25</v>
      </c>
      <c r="B9" s="8" t="s">
        <v>63</v>
      </c>
      <c r="C9" s="2" t="s">
        <v>13</v>
      </c>
      <c r="D9" s="6" t="s">
        <v>65</v>
      </c>
      <c r="E9" s="7" t="s">
        <v>64</v>
      </c>
      <c r="F9" s="2">
        <v>3.5</v>
      </c>
      <c r="G9" s="2"/>
      <c r="H9" s="10" t="s">
        <v>91</v>
      </c>
      <c r="I9" s="6" t="s">
        <v>94</v>
      </c>
    </row>
    <row r="10" spans="1:9" ht="15" customHeight="1" x14ac:dyDescent="0.2">
      <c r="A10" s="2" t="s">
        <v>25</v>
      </c>
      <c r="B10" s="8" t="s">
        <v>70</v>
      </c>
      <c r="C10" s="6" t="s">
        <v>13</v>
      </c>
      <c r="D10" s="2" t="s">
        <v>71</v>
      </c>
      <c r="E10" s="7" t="s">
        <v>72</v>
      </c>
      <c r="F10" s="2">
        <v>3.5</v>
      </c>
      <c r="G10" s="2"/>
      <c r="H10" s="10" t="s">
        <v>85</v>
      </c>
      <c r="I10" s="6" t="s">
        <v>94</v>
      </c>
    </row>
    <row r="11" spans="1:9" ht="15" customHeight="1" x14ac:dyDescent="0.2">
      <c r="A11" s="2" t="s">
        <v>25</v>
      </c>
      <c r="B11" s="8" t="s">
        <v>76</v>
      </c>
      <c r="C11" s="6" t="s">
        <v>13</v>
      </c>
      <c r="D11" s="2" t="s">
        <v>78</v>
      </c>
      <c r="E11" s="7" t="s">
        <v>77</v>
      </c>
      <c r="F11" s="2">
        <v>1.5</v>
      </c>
      <c r="G11" s="2"/>
      <c r="H11" s="10" t="s">
        <v>87</v>
      </c>
      <c r="I11" s="6" t="s">
        <v>94</v>
      </c>
    </row>
    <row r="12" spans="1:9" ht="15" customHeight="1" x14ac:dyDescent="0.2">
      <c r="A12" s="2" t="s">
        <v>25</v>
      </c>
      <c r="B12" s="8" t="s">
        <v>74</v>
      </c>
      <c r="C12" s="6" t="s">
        <v>75</v>
      </c>
      <c r="D12" s="2" t="s">
        <v>73</v>
      </c>
      <c r="E12" s="7" t="s">
        <v>79</v>
      </c>
      <c r="F12" s="2">
        <v>1.5</v>
      </c>
      <c r="G12" s="2"/>
      <c r="H12" s="10" t="s">
        <v>86</v>
      </c>
      <c r="I12" s="6" t="s">
        <v>94</v>
      </c>
    </row>
    <row r="13" spans="1:9" ht="15" customHeight="1" x14ac:dyDescent="0.2">
      <c r="A13" s="2" t="s">
        <v>26</v>
      </c>
      <c r="B13" s="7" t="s">
        <v>27</v>
      </c>
      <c r="C13" s="2" t="s">
        <v>18</v>
      </c>
      <c r="D13" s="2" t="s">
        <v>28</v>
      </c>
      <c r="E13" s="7" t="s">
        <v>29</v>
      </c>
      <c r="F13" s="2">
        <v>3</v>
      </c>
      <c r="G13" s="2"/>
      <c r="H13" s="10" t="s">
        <v>97</v>
      </c>
      <c r="I13" s="6" t="s">
        <v>94</v>
      </c>
    </row>
    <row r="14" spans="1:9" ht="15" customHeight="1" x14ac:dyDescent="0.2">
      <c r="A14" s="2" t="s">
        <v>26</v>
      </c>
      <c r="B14" s="7" t="s">
        <v>30</v>
      </c>
      <c r="C14" s="2" t="s">
        <v>13</v>
      </c>
      <c r="D14" s="2" t="s">
        <v>31</v>
      </c>
      <c r="E14" s="7" t="s">
        <v>32</v>
      </c>
      <c r="F14" s="2">
        <v>2</v>
      </c>
      <c r="G14" s="2"/>
      <c r="H14" s="10" t="s">
        <v>98</v>
      </c>
      <c r="I14" s="6" t="s">
        <v>94</v>
      </c>
    </row>
    <row r="15" spans="1:9" ht="15" customHeight="1" x14ac:dyDescent="0.2">
      <c r="A15" s="2" t="s">
        <v>33</v>
      </c>
      <c r="B15" s="8" t="s">
        <v>68</v>
      </c>
      <c r="C15" s="6" t="s">
        <v>67</v>
      </c>
      <c r="D15" s="2" t="s">
        <v>66</v>
      </c>
      <c r="E15" s="7" t="s">
        <v>69</v>
      </c>
      <c r="F15" s="2">
        <v>1</v>
      </c>
      <c r="G15" s="2"/>
      <c r="H15" s="10" t="s">
        <v>90</v>
      </c>
      <c r="I15" s="6" t="s">
        <v>94</v>
      </c>
    </row>
    <row r="16" spans="1:9" ht="15" customHeight="1" x14ac:dyDescent="0.2">
      <c r="A16" s="2" t="s">
        <v>33</v>
      </c>
      <c r="B16" s="7" t="s">
        <v>34</v>
      </c>
      <c r="C16" s="2" t="s">
        <v>35</v>
      </c>
      <c r="D16" s="2" t="s">
        <v>36</v>
      </c>
      <c r="E16" s="7" t="s">
        <v>37</v>
      </c>
      <c r="F16" s="2">
        <v>1.5</v>
      </c>
      <c r="G16" s="2"/>
      <c r="H16" s="10" t="s">
        <v>99</v>
      </c>
      <c r="I16" s="6" t="s">
        <v>94</v>
      </c>
    </row>
    <row r="17" spans="1:9" ht="15" customHeight="1" x14ac:dyDescent="0.2">
      <c r="A17" s="2" t="s">
        <v>38</v>
      </c>
      <c r="B17" s="7" t="s">
        <v>39</v>
      </c>
      <c r="C17" s="2" t="s">
        <v>35</v>
      </c>
      <c r="D17" s="2" t="s">
        <v>40</v>
      </c>
      <c r="E17" s="7" t="s">
        <v>62</v>
      </c>
      <c r="F17" s="2">
        <v>5</v>
      </c>
      <c r="G17" s="2"/>
      <c r="H17" s="10" t="s">
        <v>88</v>
      </c>
      <c r="I17" s="6" t="s">
        <v>94</v>
      </c>
    </row>
    <row r="18" spans="1:9" ht="15" customHeight="1" x14ac:dyDescent="0.2">
      <c r="A18" s="2" t="s">
        <v>41</v>
      </c>
      <c r="B18" s="2" t="s">
        <v>42</v>
      </c>
      <c r="C18" s="2" t="s">
        <v>13</v>
      </c>
      <c r="D18" s="2" t="s">
        <v>43</v>
      </c>
      <c r="E18" s="2" t="s">
        <v>44</v>
      </c>
      <c r="F18" s="2">
        <v>6.5</v>
      </c>
      <c r="G18" s="2" t="s">
        <v>45</v>
      </c>
      <c r="H18" s="10"/>
      <c r="I18" s="2" t="s">
        <v>46</v>
      </c>
    </row>
    <row r="19" spans="1:9" ht="15" customHeight="1" x14ac:dyDescent="0.2">
      <c r="A19" s="2" t="s">
        <v>41</v>
      </c>
      <c r="B19" s="2" t="s">
        <v>47</v>
      </c>
      <c r="C19" s="2" t="s">
        <v>35</v>
      </c>
      <c r="D19" s="2" t="s">
        <v>48</v>
      </c>
      <c r="E19" s="2" t="s">
        <v>49</v>
      </c>
      <c r="F19" s="2">
        <v>3.5</v>
      </c>
      <c r="G19" s="2" t="s">
        <v>50</v>
      </c>
      <c r="H19" s="10"/>
      <c r="I19" s="2" t="s">
        <v>51</v>
      </c>
    </row>
    <row r="20" spans="1:9" ht="15" customHeight="1" x14ac:dyDescent="0.2">
      <c r="A20" s="2"/>
      <c r="B20" s="2"/>
      <c r="C20" s="2"/>
      <c r="D20" s="2"/>
      <c r="E20" s="2"/>
      <c r="F20" s="2"/>
      <c r="G20" s="2"/>
      <c r="H20" s="10"/>
      <c r="I20" s="2"/>
    </row>
    <row r="21" spans="1:9" ht="15" customHeight="1" x14ac:dyDescent="0.2">
      <c r="E21" s="3" t="s">
        <v>52</v>
      </c>
      <c r="F21" s="3">
        <f>SUM(F2:F19)</f>
        <v>100</v>
      </c>
      <c r="I21" s="4"/>
    </row>
    <row r="28" spans="1:9" ht="21" x14ac:dyDescent="0.25">
      <c r="B28" s="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Chiementin, G. (Giovanni, Student X-ME)</cp:lastModifiedBy>
  <cp:revision>0</cp:revision>
  <dcterms:created xsi:type="dcterms:W3CDTF">2026-07-05T15:17:58Z</dcterms:created>
  <dcterms:modified xsi:type="dcterms:W3CDTF">2026-07-07T16:34:45Z</dcterms:modified>
  <dc:language>en-US</dc:language>
</cp:coreProperties>
</file>